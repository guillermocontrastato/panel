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illermo\Downloads\"/>
    </mc:Choice>
  </mc:AlternateContent>
  <bookViews>
    <workbookView xWindow="0" yWindow="0" windowWidth="20490" windowHeight="7650"/>
  </bookViews>
  <sheets>
    <sheet name="Ventas 0km" sheetId="1" r:id="rId1"/>
    <sheet name="Plan Rombo" sheetId="2" r:id="rId2"/>
    <sheet name="Mi Auto Ya!" sheetId="3" r:id="rId3"/>
    <sheet name="Postventa" sheetId="4" r:id="rId4"/>
    <sheet name="Calidad" sheetId="5" r:id="rId5"/>
    <sheet name="Recursos Humanos" sheetId="6" r:id="rId6"/>
    <sheet name="Administración y Finanza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0" i="7" l="1"/>
  <c r="D54" i="7"/>
  <c r="D49" i="7"/>
  <c r="D44" i="7"/>
  <c r="D40" i="7"/>
  <c r="D34" i="7"/>
  <c r="D29" i="7"/>
  <c r="D23" i="7"/>
  <c r="D19" i="7"/>
  <c r="D14" i="7"/>
  <c r="D8" i="7"/>
  <c r="D4" i="7"/>
  <c r="D43" i="6"/>
  <c r="D27" i="6"/>
  <c r="D22" i="6"/>
  <c r="D16" i="6"/>
  <c r="D11" i="6"/>
  <c r="D8" i="6"/>
  <c r="D3" i="6"/>
  <c r="D28" i="5"/>
  <c r="D22" i="5"/>
  <c r="D18" i="5"/>
  <c r="D8" i="5"/>
  <c r="D56" i="4"/>
  <c r="D51" i="4"/>
  <c r="D48" i="4"/>
  <c r="D43" i="4"/>
  <c r="D37" i="4"/>
  <c r="D34" i="4"/>
  <c r="D29" i="4"/>
  <c r="D26" i="4"/>
  <c r="D21" i="4"/>
  <c r="D18" i="4"/>
  <c r="D12" i="4"/>
  <c r="D8" i="4"/>
  <c r="D4" i="4"/>
  <c r="D31" i="3"/>
  <c r="D26" i="3"/>
  <c r="D20" i="3"/>
  <c r="D19" i="3"/>
  <c r="D18" i="3"/>
  <c r="D17" i="3"/>
  <c r="D8" i="3"/>
  <c r="D3" i="3"/>
  <c r="D53" i="2"/>
  <c r="D50" i="2"/>
  <c r="D17" i="2"/>
  <c r="D44" i="2"/>
  <c r="D41" i="2"/>
  <c r="D36" i="2"/>
  <c r="D33" i="2"/>
  <c r="D30" i="2"/>
  <c r="D25" i="2"/>
  <c r="D22" i="2"/>
  <c r="D14" i="2"/>
  <c r="D8" i="2"/>
  <c r="D3" i="2"/>
  <c r="D3" i="1"/>
  <c r="D41" i="1" l="1"/>
  <c r="D35" i="1"/>
  <c r="D30" i="1"/>
  <c r="D25" i="1"/>
  <c r="D20" i="1"/>
  <c r="D13" i="1"/>
  <c r="D8" i="1" l="1"/>
</calcChain>
</file>

<file path=xl/sharedStrings.xml><?xml version="1.0" encoding="utf-8"?>
<sst xmlns="http://schemas.openxmlformats.org/spreadsheetml/2006/main" count="275" uniqueCount="209">
  <si>
    <t>Cumplimiento del objetivo comercial</t>
  </si>
  <si>
    <t>Unidades reconocidas para el objetivo</t>
  </si>
  <si>
    <t xml:space="preserve">Objetivo mensual </t>
  </si>
  <si>
    <t>Tasa de conversión de leads</t>
  </si>
  <si>
    <t>Ventas cerradas de la cohorte</t>
  </si>
  <si>
    <t>Leads válidos de la cohorte</t>
  </si>
  <si>
    <t>Margen de contribución por unidad y total</t>
  </si>
  <si>
    <t>Costos variables directos</t>
  </si>
  <si>
    <t xml:space="preserve"> </t>
  </si>
  <si>
    <t>Venta neta</t>
  </si>
  <si>
    <t>Reintegros no incluidos</t>
  </si>
  <si>
    <t>Costo de reposición</t>
  </si>
  <si>
    <t>Productividad comercial por modelo</t>
  </si>
  <si>
    <t>Unidades por modelo</t>
  </si>
  <si>
    <t>Objetivo asignado al modelo</t>
  </si>
  <si>
    <t>Composición de la venta</t>
  </si>
  <si>
    <t>Operaciones por modalidad</t>
  </si>
  <si>
    <t>operaciones totales</t>
  </si>
  <si>
    <t>Autos peritados vs. tomados por vendedor</t>
  </si>
  <si>
    <t>Vehículos tomados</t>
  </si>
  <si>
    <t>vehículos peritados de la misma cohorte</t>
  </si>
  <si>
    <t>Brecha de posicionamiento de precios</t>
  </si>
  <si>
    <t>Precio de cierre propio</t>
  </si>
  <si>
    <t>Precio de referencia</t>
  </si>
  <si>
    <t>Cumplimiento y tiempo de entrega</t>
  </si>
  <si>
    <t xml:space="preserve">Entregas en fecha </t>
  </si>
  <si>
    <t>Entregas totales</t>
  </si>
  <si>
    <t>Cumplimiento del objetivo de suscripciones</t>
  </si>
  <si>
    <t>Suscripciones aceptadas</t>
  </si>
  <si>
    <t>Objetivo mensual</t>
  </si>
  <si>
    <t>Contribución económica mensual</t>
  </si>
  <si>
    <t xml:space="preserve">Ingresos atribuibles </t>
  </si>
  <si>
    <t>Cartera activa y tasa de caída por cohorte</t>
  </si>
  <si>
    <t>Contratos activos en cuota n</t>
  </si>
  <si>
    <t>Caída(100%)</t>
  </si>
  <si>
    <t>Tasa activa</t>
  </si>
  <si>
    <t>Contratos iniciales de la cohorte</t>
  </si>
  <si>
    <t>Comisiones</t>
  </si>
  <si>
    <t>Costos directos</t>
  </si>
  <si>
    <t>Cobertura de contacto del call center</t>
  </si>
  <si>
    <t>Clientes con intento registrado</t>
  </si>
  <si>
    <t>Asignados</t>
  </si>
  <si>
    <t xml:space="preserve">Clientes contactados efectivamente </t>
  </si>
  <si>
    <t>Conversión de invitaciones, ofertas y adjudicaciones</t>
  </si>
  <si>
    <t>Ofertas</t>
  </si>
  <si>
    <t>Contactos efectivos</t>
  </si>
  <si>
    <t>Adjudicaciones</t>
  </si>
  <si>
    <t>Entregas</t>
  </si>
  <si>
    <t>Conversión y rentabilidad de leads</t>
  </si>
  <si>
    <t>Suscripciones de la cohorte</t>
  </si>
  <si>
    <t>Leads atribuibles</t>
  </si>
  <si>
    <t>Retorno propuesto</t>
  </si>
  <si>
    <t>Contribución atribuible antes de captación</t>
  </si>
  <si>
    <t>Inversión</t>
  </si>
  <si>
    <t>Resolución administrativa y escalamiento</t>
  </si>
  <si>
    <t>Casos vencibles en el período cerrados dentro del plazo</t>
  </si>
  <si>
    <t>casos vencibles</t>
  </si>
  <si>
    <t>Escalaciones totales</t>
  </si>
  <si>
    <t>Días por caso y escalaciones no justificadas</t>
  </si>
  <si>
    <t>Cumplimiento del objetivo de unidades</t>
  </si>
  <si>
    <t>Unidades entregadas y cobradas</t>
  </si>
  <si>
    <t>Objetivo interno mensual</t>
  </si>
  <si>
    <t>Contribución económica total y por unidad</t>
  </si>
  <si>
    <t>Costo de adquisición/consignación</t>
  </si>
  <si>
    <t>Reacondicionamiento</t>
  </si>
  <si>
    <t>Otros costos</t>
  </si>
  <si>
    <t>Total</t>
  </si>
  <si>
    <t>Operaciones totales</t>
  </si>
  <si>
    <t>Contado</t>
  </si>
  <si>
    <t>Permuta de Usado</t>
  </si>
  <si>
    <t>Crédito</t>
  </si>
  <si>
    <t>Operaciones que combinan modalidades</t>
  </si>
  <si>
    <t>Conversión de leads</t>
  </si>
  <si>
    <t>Ventas cerradas</t>
  </si>
  <si>
    <t>Leads de la misma cohorte</t>
  </si>
  <si>
    <t>Autos peritados vs. tomados por peritador</t>
  </si>
  <si>
    <t xml:space="preserve">Vehículos tomados </t>
  </si>
  <si>
    <t>Vehículos peritados de la misma cohorte</t>
  </si>
  <si>
    <t>Entradas al taller por día</t>
  </si>
  <si>
    <t>Acumulado mensual</t>
  </si>
  <si>
    <t>Promedio por día operativo</t>
  </si>
  <si>
    <t>Productividad y utilización de la capacidad del taller</t>
  </si>
  <si>
    <t>Productividad</t>
  </si>
  <si>
    <t>Utilización</t>
  </si>
  <si>
    <t>Horas facturadas</t>
  </si>
  <si>
    <t>Disponibles</t>
  </si>
  <si>
    <t>Horas trabajadas</t>
  </si>
  <si>
    <t>Efectividad de la agenda</t>
  </si>
  <si>
    <t>Horas agendadas</t>
  </si>
  <si>
    <t>Capacidad disponible</t>
  </si>
  <si>
    <t xml:space="preserve">Inasistencias </t>
  </si>
  <si>
    <t>Turnos agendados</t>
  </si>
  <si>
    <t>Ventas y margen por familia, mano de obra y canal</t>
  </si>
  <si>
    <t>Ventas netas</t>
  </si>
  <si>
    <t>Costo de reposición/directo</t>
  </si>
  <si>
    <t>Margen</t>
  </si>
  <si>
    <t>Stock Vivo, Durmiente y Muerto; rotación</t>
  </si>
  <si>
    <t>Valor por categoría</t>
  </si>
  <si>
    <t>Rotación</t>
  </si>
  <si>
    <t xml:space="preserve">Inventario total </t>
  </si>
  <si>
    <t>Costo vendido del período</t>
  </si>
  <si>
    <t>Inventario promedio</t>
  </si>
  <si>
    <t>Cumplimiento de compras de repuestos a Renault</t>
  </si>
  <si>
    <t xml:space="preserve">Pedidos facturados, asignados o de entrega directa </t>
  </si>
  <si>
    <t>Objetivo PNC</t>
  </si>
  <si>
    <t>Exactitud y trazabilidad de inventario</t>
  </si>
  <si>
    <t>Items coincidentes</t>
  </si>
  <si>
    <t>Items auditados</t>
  </si>
  <si>
    <t>Movimientos documentados</t>
  </si>
  <si>
    <t xml:space="preserve">Movimientos revisados </t>
  </si>
  <si>
    <t>Nivel de servicio de abastecimiento y e-commerce</t>
  </si>
  <si>
    <t>Solicitudes completas y a tiempo</t>
  </si>
  <si>
    <t>Solicitudes totales</t>
  </si>
  <si>
    <t>Mystery Shopping</t>
  </si>
  <si>
    <t>Lead</t>
  </si>
  <si>
    <t>Call</t>
  </si>
  <si>
    <t>Índice VoC NPS: VN y PV</t>
  </si>
  <si>
    <t>NPS por pregunta</t>
  </si>
  <si>
    <t xml:space="preserve">Promotores </t>
  </si>
  <si>
    <t>Detractores</t>
  </si>
  <si>
    <t>Encuestas</t>
  </si>
  <si>
    <t>DDA: Recepción y Preparación</t>
  </si>
  <si>
    <t>Recepción</t>
  </si>
  <si>
    <t>VIN con recepción DDA</t>
  </si>
  <si>
    <t>VIN asignados con fecha ARA</t>
  </si>
  <si>
    <t>Preparación</t>
  </si>
  <si>
    <t>VIN con preparación DDA</t>
  </si>
  <si>
    <t>VIN con entrega administrativa global</t>
  </si>
  <si>
    <t>OCV Battery Check</t>
  </si>
  <si>
    <t>Propuesta de seguimiento</t>
  </si>
  <si>
    <t>VIN de la base oficial evaluada</t>
  </si>
  <si>
    <t>VIN con OCV válido</t>
  </si>
  <si>
    <t>Incentivos de Calidad: habilitados, cobrados y en riesgo</t>
  </si>
  <si>
    <t>Estimado</t>
  </si>
  <si>
    <t>Facturado</t>
  </si>
  <si>
    <t>Ccobrado</t>
  </si>
  <si>
    <t>Retenido</t>
  </si>
  <si>
    <t>Riesgo</t>
  </si>
  <si>
    <t>Tasa de ausentismo</t>
  </si>
  <si>
    <t>Horas o días de ausencia</t>
  </si>
  <si>
    <t>horas o días laborables planificados</t>
  </si>
  <si>
    <t>Tasa de llegadas tarde y reincidencia</t>
  </si>
  <si>
    <t>Llegadas tarde</t>
  </si>
  <si>
    <t>Ingresos esperados</t>
  </si>
  <si>
    <t>Dotación</t>
  </si>
  <si>
    <t>Empleados con ≥3 tardanzas</t>
  </si>
  <si>
    <t>Incidencia y días perdidos por ART/licencias</t>
  </si>
  <si>
    <t>Casos por cada 100 empleados</t>
  </si>
  <si>
    <t>dotación promedio</t>
  </si>
  <si>
    <t>Días perdidos</t>
  </si>
  <si>
    <t>Dotación promedio</t>
  </si>
  <si>
    <t>Reincidencia disciplinaria y oportunidad de actuación</t>
  </si>
  <si>
    <t>Personas con reincidencia en 90 días</t>
  </si>
  <si>
    <t>Personas con medida previa</t>
  </si>
  <si>
    <t>Rotación de personal</t>
  </si>
  <si>
    <t>Bajas del período</t>
  </si>
  <si>
    <t>Costo total de personal y costo por área</t>
  </si>
  <si>
    <t xml:space="preserve">Sueldos </t>
  </si>
  <si>
    <t>Cargas sociales</t>
  </si>
  <si>
    <t>Beneficios</t>
  </si>
  <si>
    <t>Variables</t>
  </si>
  <si>
    <t>Costo potencial de desvinculación</t>
  </si>
  <si>
    <t xml:space="preserve">Suma de estimaciones individuales </t>
  </si>
  <si>
    <t>Exposición por anticipos al personal</t>
  </si>
  <si>
    <t xml:space="preserve">Saldo pendiente de anticipos </t>
  </si>
  <si>
    <t>Masa salarial neta</t>
  </si>
  <si>
    <t>Liquidez y disponibilidades</t>
  </si>
  <si>
    <t>Disponible utilizable</t>
  </si>
  <si>
    <t>Cobertura</t>
  </si>
  <si>
    <t>Disponible</t>
  </si>
  <si>
    <t>Pagos de ese horizonte</t>
  </si>
  <si>
    <t>Complemento mensual</t>
  </si>
  <si>
    <t>Activo corriente</t>
  </si>
  <si>
    <t>Pasivo corriente</t>
  </si>
  <si>
    <t>Endeudamiento total por origen</t>
  </si>
  <si>
    <t>Rentabilidad: margen neto por actividad y total</t>
  </si>
  <si>
    <t>Suma de obligaciones sin duplicación</t>
  </si>
  <si>
    <t>Deuda por origen</t>
  </si>
  <si>
    <t>Deuda total</t>
  </si>
  <si>
    <t xml:space="preserve">Resultado neto de actividad </t>
  </si>
  <si>
    <t>Ingresos netos de actividad</t>
  </si>
  <si>
    <t xml:space="preserve">Total </t>
  </si>
  <si>
    <t>Resultado neto empresa</t>
  </si>
  <si>
    <t>Ingresos netos empresa</t>
  </si>
  <si>
    <t>Costos de estructura por unidad de negocio y sucursal</t>
  </si>
  <si>
    <t>Incidencia</t>
  </si>
  <si>
    <t>Gastos fijos</t>
  </si>
  <si>
    <t>Ingresos netos</t>
  </si>
  <si>
    <t>Costos financieros</t>
  </si>
  <si>
    <t>Intereses</t>
  </si>
  <si>
    <t>Días o meses de inventarios: VN, VU y RE</t>
  </si>
  <si>
    <t>Cargos de financiación devengados</t>
  </si>
  <si>
    <t>Días</t>
  </si>
  <si>
    <t>Inventario al cierre a costo</t>
  </si>
  <si>
    <t>Costo diario promedio de ventas/consumo</t>
  </si>
  <si>
    <t>Meses</t>
  </si>
  <si>
    <t>Inventario a costo</t>
  </si>
  <si>
    <t>Costo mensual promedio</t>
  </si>
  <si>
    <t>Absorción de Postventa</t>
  </si>
  <si>
    <t>Contribución RE</t>
  </si>
  <si>
    <t>Gastos fijos operativos totales</t>
  </si>
  <si>
    <t>Contribución</t>
  </si>
  <si>
    <t>Costos y gastos variables</t>
  </si>
  <si>
    <t>Contribución SE</t>
  </si>
  <si>
    <t>Créditos a cobrar</t>
  </si>
  <si>
    <t>Proporción vencida</t>
  </si>
  <si>
    <t>Saldo total</t>
  </si>
  <si>
    <t>Saldo vencido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</si>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</sst>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2C0A]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1C2733"/>
      <name val="Arial"/>
      <family val="2"/>
    </font>
    <font>
      <b/>
      <i/>
      <sz val="11"/>
      <color rgb="FF1C2733"/>
      <name val="Arial"/>
      <family val="2"/>
    </font>
    <font>
      <b/>
      <sz val="11"/>
      <color rgb="FF1C2733"/>
      <name val="Arial"/>
      <family val="2"/>
    </font>
    <font>
      <sz val="11"/>
      <color rgb="FF263442"/>
      <name val="Arial"/>
      <family val="2"/>
    </font>
    <font>
      <b/>
      <sz val="11"/>
      <color rgb="FF263442"/>
      <name val="Arial"/>
      <family val="2"/>
    </font>
    <font>
      <sz val="11"/>
      <name val="Calibri"/>
      <family val="2"/>
      <scheme val="minor"/>
    </font>
    <font>
      <b/>
      <sz val="9"/>
      <color rgb="FF263442"/>
      <name val="Arial"/>
      <family val="2"/>
    </font>
    <font>
      <sz val="9"/>
      <color rgb="FF263442"/>
      <name val="Arial"/>
      <family val="2"/>
    </font>
    <font>
      <b/>
      <i/>
      <sz val="11"/>
      <color rgb="FFFF0000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1C2733"/>
      <name val="Arial"/>
      <family val="2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2" borderId="0" xfId="0" applyFont="1" applyFill="1"/>
    <xf numFmtId="1" fontId="0" fillId="0" borderId="0" xfId="0" applyNumberFormat="1" applyFont="1"/>
    <xf numFmtId="0" fontId="0" fillId="0" borderId="0" xfId="0" applyFont="1"/>
    <xf numFmtId="0" fontId="4" fillId="2" borderId="0" xfId="0" applyFont="1" applyFill="1"/>
    <xf numFmtId="164" fontId="0" fillId="0" borderId="0" xfId="0" applyNumberFormat="1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vertical="center" wrapText="1"/>
    </xf>
    <xf numFmtId="0" fontId="8" fillId="0" borderId="0" xfId="0" applyFont="1"/>
    <xf numFmtId="0" fontId="9" fillId="0" borderId="0" xfId="0" applyFont="1"/>
    <xf numFmtId="2" fontId="0" fillId="0" borderId="0" xfId="0" applyNumberFormat="1"/>
    <xf numFmtId="2" fontId="0" fillId="4" borderId="0" xfId="0" applyNumberFormat="1" applyFill="1"/>
    <xf numFmtId="2" fontId="0" fillId="0" borderId="0" xfId="0" applyNumberFormat="1" applyFont="1"/>
    <xf numFmtId="2" fontId="0" fillId="3" borderId="0" xfId="1" applyNumberFormat="1" applyFont="1" applyFill="1"/>
    <xf numFmtId="2" fontId="0" fillId="3" borderId="0" xfId="0" applyNumberFormat="1" applyFont="1" applyFill="1"/>
    <xf numFmtId="2" fontId="7" fillId="3" borderId="0" xfId="0" applyNumberFormat="1" applyFont="1" applyFill="1"/>
    <xf numFmtId="2" fontId="0" fillId="4" borderId="0" xfId="0" applyNumberFormat="1" applyFont="1" applyFill="1"/>
    <xf numFmtId="1" fontId="0" fillId="0" borderId="0" xfId="1" applyNumberFormat="1" applyFont="1"/>
    <xf numFmtId="0" fontId="10" fillId="0" borderId="0" xfId="0" applyFont="1"/>
    <xf numFmtId="0" fontId="11" fillId="0" borderId="0" xfId="0" applyFont="1"/>
    <xf numFmtId="2" fontId="7" fillId="4" borderId="0" xfId="0" applyNumberFormat="1" applyFont="1" applyFill="1"/>
    <xf numFmtId="0" fontId="7" fillId="4" borderId="0" xfId="0" applyFont="1" applyFill="1"/>
    <xf numFmtId="0" fontId="7" fillId="6" borderId="0" xfId="0" applyFont="1" applyFill="1"/>
    <xf numFmtId="0" fontId="0" fillId="4" borderId="0" xfId="0" applyFill="1"/>
    <xf numFmtId="0" fontId="0" fillId="0" borderId="0" xfId="0" applyFill="1"/>
    <xf numFmtId="0" fontId="0" fillId="5" borderId="0" xfId="0" applyFill="1"/>
    <xf numFmtId="9" fontId="0" fillId="0" borderId="0" xfId="0" applyNumberFormat="1" applyFill="1"/>
    <xf numFmtId="0" fontId="13" fillId="0" borderId="0" xfId="0" applyFont="1"/>
    <xf numFmtId="9" fontId="0" fillId="5" borderId="0" xfId="0" applyNumberFormat="1" applyFill="1"/>
    <xf numFmtId="1" fontId="0" fillId="5" borderId="0" xfId="0" applyNumberFormat="1" applyFont="1" applyFill="1"/>
    <xf numFmtId="164" fontId="0" fillId="5" borderId="0" xfId="0" applyNumberFormat="1" applyFont="1" applyFill="1"/>
    <xf numFmtId="0" fontId="0" fillId="6" borderId="0" xfId="0" applyFill="1"/>
    <xf numFmtId="0" fontId="14" fillId="0" borderId="0" xfId="0" applyFont="1"/>
    <xf numFmtId="0" fontId="15" fillId="0" borderId="0" xfId="0" applyFont="1"/>
    <xf numFmtId="1" fontId="7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0" fillId="0" borderId="0" xfId="0" applyFill="1" applyAlignment="1">
      <alignment horizontal="right"/>
    </xf>
    <xf numFmtId="0" fontId="12" fillId="0" borderId="0" xfId="0" applyFont="1" applyAlignment="1">
      <alignment horizontal="right"/>
    </xf>
    <xf numFmtId="0" fontId="10" fillId="0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9" fontId="0" fillId="0" borderId="0" xfId="0" applyNumberFormat="1" applyFill="1" applyAlignment="1">
      <alignment horizontal="right"/>
    </xf>
    <xf numFmtId="0" fontId="7" fillId="0" borderId="0" xfId="0" applyFont="1" applyFill="1" applyAlignment="1">
      <alignment horizontal="right"/>
    </xf>
    <xf numFmtId="0" fontId="12" fillId="0" borderId="0" xfId="0" applyFont="1" applyFill="1" applyAlignment="1">
      <alignment horizontal="right"/>
    </xf>
    <xf numFmtId="164" fontId="12" fillId="0" borderId="0" xfId="0" applyNumberFormat="1" applyFont="1" applyFill="1" applyAlignment="1">
      <alignment horizontal="right"/>
    </xf>
    <xf numFmtId="1" fontId="12" fillId="0" borderId="0" xfId="0" applyNumberFormat="1" applyFont="1" applyFill="1" applyAlignment="1">
      <alignment horizontal="righ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F4" sqref="F4"/>
    </sheetView>
  </sheetViews>
  <sheetFormatPr baseColWidth="10" defaultRowHeight="15" x14ac:dyDescent="0.25"/>
  <cols>
    <col min="1" max="1" width="44.7109375" style="4" customWidth="1"/>
    <col min="2" max="2" width="15.140625" style="3" bestFit="1" customWidth="1"/>
    <col min="3" max="3" width="15.140625" style="36" customWidth="1"/>
    <col min="4" max="4" width="18.28515625" style="14" customWidth="1"/>
    <col min="5" max="16384" width="11.42578125" style="4"/>
  </cols>
  <sheetData>
    <row r="1" spans="1:4" x14ac:dyDescent="0.25">
      <c r="A1" s="2" t="s">
        <v>0</v>
      </c>
    </row>
    <row r="3" spans="1:4" x14ac:dyDescent="0.25">
      <c r="A3" s="1" t="s">
        <v>1</v>
      </c>
      <c r="B3" s="31">
        <v>50</v>
      </c>
      <c r="C3" s="47" t="s">
        <v>208</v>
      </c>
      <c r="D3" s="15">
        <f>B3/B4*100</f>
        <v>55.555555555555557</v>
      </c>
    </row>
    <row r="4" spans="1:4" x14ac:dyDescent="0.25">
      <c r="A4" s="1" t="s">
        <v>2</v>
      </c>
      <c r="B4" s="31">
        <v>90</v>
      </c>
    </row>
    <row r="6" spans="1:4" x14ac:dyDescent="0.25">
      <c r="A6" s="2" t="s">
        <v>3</v>
      </c>
    </row>
    <row r="8" spans="1:4" x14ac:dyDescent="0.25">
      <c r="A8" s="1" t="s">
        <v>4</v>
      </c>
      <c r="B8" s="31">
        <v>41</v>
      </c>
      <c r="C8" s="47" t="s">
        <v>208</v>
      </c>
      <c r="D8" s="15">
        <f>B8/B9</f>
        <v>9.8795180722891562E-2</v>
      </c>
    </row>
    <row r="9" spans="1:4" x14ac:dyDescent="0.25">
      <c r="A9" s="1" t="s">
        <v>5</v>
      </c>
      <c r="B9" s="31">
        <v>415</v>
      </c>
    </row>
    <row r="11" spans="1:4" x14ac:dyDescent="0.25">
      <c r="A11" s="5" t="s">
        <v>6</v>
      </c>
    </row>
    <row r="13" spans="1:4" x14ac:dyDescent="0.25">
      <c r="A13" s="1" t="s">
        <v>9</v>
      </c>
      <c r="B13" s="32">
        <v>256565656</v>
      </c>
      <c r="C13" s="46" t="s">
        <v>208</v>
      </c>
      <c r="D13" s="16">
        <f>B13+B14-B15-B16</f>
        <v>256611381</v>
      </c>
    </row>
    <row r="14" spans="1:4" x14ac:dyDescent="0.25">
      <c r="A14" s="7" t="s">
        <v>10</v>
      </c>
      <c r="B14" s="32">
        <v>125545</v>
      </c>
      <c r="C14" s="37"/>
    </row>
    <row r="15" spans="1:4" x14ac:dyDescent="0.25">
      <c r="A15" s="7" t="s">
        <v>11</v>
      </c>
      <c r="B15" s="32">
        <v>23255</v>
      </c>
      <c r="C15" s="37"/>
    </row>
    <row r="16" spans="1:4" x14ac:dyDescent="0.25">
      <c r="A16" s="7" t="s">
        <v>7</v>
      </c>
      <c r="B16" s="32">
        <v>56565</v>
      </c>
      <c r="C16" s="37"/>
    </row>
    <row r="17" spans="1:4" x14ac:dyDescent="0.25">
      <c r="A17" s="1" t="s">
        <v>8</v>
      </c>
      <c r="B17" s="6" t="s">
        <v>8</v>
      </c>
      <c r="C17" s="37"/>
    </row>
    <row r="18" spans="1:4" x14ac:dyDescent="0.25">
      <c r="A18" s="8" t="s">
        <v>12</v>
      </c>
    </row>
    <row r="20" spans="1:4" x14ac:dyDescent="0.25">
      <c r="A20" s="7" t="s">
        <v>13</v>
      </c>
      <c r="B20" s="31">
        <v>1500</v>
      </c>
      <c r="C20" s="46" t="s">
        <v>208</v>
      </c>
      <c r="D20" s="17">
        <f>B20/B21*100</f>
        <v>88.235294117647058</v>
      </c>
    </row>
    <row r="21" spans="1:4" x14ac:dyDescent="0.25">
      <c r="A21" s="7" t="s">
        <v>14</v>
      </c>
      <c r="B21" s="31">
        <v>1700</v>
      </c>
    </row>
    <row r="23" spans="1:4" x14ac:dyDescent="0.25">
      <c r="A23" s="8" t="s">
        <v>15</v>
      </c>
    </row>
    <row r="25" spans="1:4" x14ac:dyDescent="0.25">
      <c r="A25" s="7" t="s">
        <v>16</v>
      </c>
      <c r="B25" s="31">
        <v>1565</v>
      </c>
      <c r="C25" s="46" t="s">
        <v>208</v>
      </c>
      <c r="D25" s="16">
        <f>B25/B26*100</f>
        <v>282.49097472924188</v>
      </c>
    </row>
    <row r="26" spans="1:4" x14ac:dyDescent="0.25">
      <c r="A26" s="7" t="s">
        <v>17</v>
      </c>
      <c r="B26" s="31">
        <v>554</v>
      </c>
    </row>
    <row r="28" spans="1:4" ht="30" x14ac:dyDescent="0.25">
      <c r="A28" s="9" t="s">
        <v>18</v>
      </c>
    </row>
    <row r="30" spans="1:4" x14ac:dyDescent="0.25">
      <c r="A30" s="7" t="s">
        <v>19</v>
      </c>
      <c r="B30" s="31">
        <v>50</v>
      </c>
      <c r="C30" s="46" t="s">
        <v>208</v>
      </c>
      <c r="D30" s="16">
        <f>B30/B31*100</f>
        <v>111.11111111111111</v>
      </c>
    </row>
    <row r="31" spans="1:4" x14ac:dyDescent="0.25">
      <c r="A31" s="7" t="s">
        <v>20</v>
      </c>
      <c r="B31" s="31">
        <v>45</v>
      </c>
    </row>
    <row r="33" spans="1:4" x14ac:dyDescent="0.25">
      <c r="A33" s="8" t="s">
        <v>21</v>
      </c>
    </row>
    <row r="35" spans="1:4" x14ac:dyDescent="0.25">
      <c r="A35" s="7" t="s">
        <v>22</v>
      </c>
      <c r="B35" s="31">
        <v>1516</v>
      </c>
      <c r="C35" s="46" t="s">
        <v>208</v>
      </c>
      <c r="D35" s="18">
        <f>(B35-B36)/B37*100</f>
        <v>262.58992805755395</v>
      </c>
    </row>
    <row r="36" spans="1:4" x14ac:dyDescent="0.25">
      <c r="A36" s="7" t="s">
        <v>23</v>
      </c>
      <c r="B36" s="31">
        <v>56</v>
      </c>
    </row>
    <row r="37" spans="1:4" x14ac:dyDescent="0.25">
      <c r="A37" s="7" t="s">
        <v>23</v>
      </c>
      <c r="B37" s="31">
        <v>556</v>
      </c>
    </row>
    <row r="39" spans="1:4" x14ac:dyDescent="0.25">
      <c r="A39" s="8" t="s">
        <v>24</v>
      </c>
    </row>
    <row r="41" spans="1:4" x14ac:dyDescent="0.25">
      <c r="A41" s="7" t="s">
        <v>25</v>
      </c>
      <c r="B41" s="31">
        <v>100</v>
      </c>
      <c r="C41" s="46" t="s">
        <v>208</v>
      </c>
      <c r="D41" s="18">
        <f>B41/B42*100</f>
        <v>125</v>
      </c>
    </row>
    <row r="42" spans="1:4" x14ac:dyDescent="0.25">
      <c r="A42" s="7" t="s">
        <v>26</v>
      </c>
      <c r="B42" s="31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C3" activeCellId="10" sqref="C53 C50 C41 C36 C33 C30 C25 C22 C14 C8 C3"/>
    </sheetView>
  </sheetViews>
  <sheetFormatPr baseColWidth="10" defaultRowHeight="15" x14ac:dyDescent="0.25"/>
  <cols>
    <col min="1" max="1" width="60.5703125" style="4" customWidth="1"/>
    <col min="3" max="3" width="23" style="38" customWidth="1"/>
    <col min="4" max="4" width="11.42578125" style="12"/>
  </cols>
  <sheetData>
    <row r="1" spans="1:4" x14ac:dyDescent="0.25">
      <c r="A1" s="8" t="s">
        <v>27</v>
      </c>
    </row>
    <row r="3" spans="1:4" x14ac:dyDescent="0.25">
      <c r="A3" s="7" t="s">
        <v>28</v>
      </c>
      <c r="B3" s="27">
        <v>12</v>
      </c>
      <c r="C3" s="45" t="s">
        <v>208</v>
      </c>
      <c r="D3" s="13">
        <f>B3/B4*100</f>
        <v>38.70967741935484</v>
      </c>
    </row>
    <row r="4" spans="1:4" x14ac:dyDescent="0.25">
      <c r="A4" s="7" t="s">
        <v>29</v>
      </c>
      <c r="B4" s="27">
        <v>31</v>
      </c>
    </row>
    <row r="6" spans="1:4" x14ac:dyDescent="0.25">
      <c r="A6" s="8" t="s">
        <v>30</v>
      </c>
    </row>
    <row r="8" spans="1:4" x14ac:dyDescent="0.25">
      <c r="A8" s="7" t="s">
        <v>31</v>
      </c>
      <c r="B8" s="27">
        <v>45</v>
      </c>
      <c r="C8" s="45" t="s">
        <v>208</v>
      </c>
      <c r="D8" s="13">
        <f>B8-B9-B10</f>
        <v>-23</v>
      </c>
    </row>
    <row r="9" spans="1:4" x14ac:dyDescent="0.25">
      <c r="A9" s="7" t="s">
        <v>37</v>
      </c>
      <c r="B9" s="27">
        <v>34</v>
      </c>
    </row>
    <row r="10" spans="1:4" x14ac:dyDescent="0.25">
      <c r="A10" s="7" t="s">
        <v>38</v>
      </c>
      <c r="B10" s="27">
        <v>34</v>
      </c>
    </row>
    <row r="12" spans="1:4" x14ac:dyDescent="0.25">
      <c r="A12" s="8" t="s">
        <v>32</v>
      </c>
    </row>
    <row r="14" spans="1:4" x14ac:dyDescent="0.25">
      <c r="A14" s="7" t="s">
        <v>33</v>
      </c>
      <c r="B14" s="27">
        <v>45</v>
      </c>
      <c r="C14" s="45" t="s">
        <v>208</v>
      </c>
      <c r="D14" s="13">
        <f>B14/B15*100</f>
        <v>132.35294117647058</v>
      </c>
    </row>
    <row r="15" spans="1:4" x14ac:dyDescent="0.25">
      <c r="A15" s="7" t="s">
        <v>36</v>
      </c>
      <c r="B15" s="27">
        <v>34</v>
      </c>
    </row>
    <row r="17" spans="1:4" x14ac:dyDescent="0.25">
      <c r="B17" s="19" t="s">
        <v>8</v>
      </c>
      <c r="C17" s="21" t="s">
        <v>34</v>
      </c>
      <c r="D17" s="13">
        <f>100-B18</f>
        <v>20</v>
      </c>
    </row>
    <row r="18" spans="1:4" x14ac:dyDescent="0.25">
      <c r="A18" s="7" t="s">
        <v>35</v>
      </c>
      <c r="B18" s="27">
        <v>80</v>
      </c>
    </row>
    <row r="20" spans="1:4" x14ac:dyDescent="0.25">
      <c r="A20" s="8" t="s">
        <v>39</v>
      </c>
    </row>
    <row r="22" spans="1:4" x14ac:dyDescent="0.25">
      <c r="A22" s="7" t="s">
        <v>40</v>
      </c>
      <c r="B22" s="27">
        <v>34</v>
      </c>
      <c r="C22" s="45" t="s">
        <v>208</v>
      </c>
      <c r="D22" s="13">
        <f>B22/B23*100</f>
        <v>62.962962962962962</v>
      </c>
    </row>
    <row r="23" spans="1:4" x14ac:dyDescent="0.25">
      <c r="A23" s="7" t="s">
        <v>41</v>
      </c>
      <c r="B23" s="27">
        <v>54</v>
      </c>
    </row>
    <row r="25" spans="1:4" x14ac:dyDescent="0.25">
      <c r="A25" s="7" t="s">
        <v>42</v>
      </c>
      <c r="B25" s="27">
        <v>42</v>
      </c>
      <c r="C25" s="45" t="s">
        <v>208</v>
      </c>
      <c r="D25" s="13">
        <f>B25/B26*100</f>
        <v>123.52941176470588</v>
      </c>
    </row>
    <row r="26" spans="1:4" x14ac:dyDescent="0.25">
      <c r="A26" s="7" t="s">
        <v>41</v>
      </c>
      <c r="B26" s="27">
        <v>34</v>
      </c>
    </row>
    <row r="28" spans="1:4" x14ac:dyDescent="0.25">
      <c r="A28" s="8" t="s">
        <v>43</v>
      </c>
    </row>
    <row r="30" spans="1:4" x14ac:dyDescent="0.25">
      <c r="A30" s="7" t="s">
        <v>44</v>
      </c>
      <c r="B30" s="27">
        <v>34</v>
      </c>
      <c r="C30" s="45" t="s">
        <v>208</v>
      </c>
      <c r="D30" s="13">
        <f>B30/B31*100</f>
        <v>97.142857142857139</v>
      </c>
    </row>
    <row r="31" spans="1:4" x14ac:dyDescent="0.25">
      <c r="A31" s="7" t="s">
        <v>45</v>
      </c>
      <c r="B31" s="27">
        <v>35</v>
      </c>
    </row>
    <row r="32" spans="1:4" x14ac:dyDescent="0.25">
      <c r="A32" s="7"/>
    </row>
    <row r="33" spans="1:4" x14ac:dyDescent="0.25">
      <c r="A33" s="7" t="s">
        <v>46</v>
      </c>
      <c r="B33" s="27">
        <v>534</v>
      </c>
      <c r="C33" s="45" t="s">
        <v>208</v>
      </c>
      <c r="D33" s="13">
        <f>B33/B34*100</f>
        <v>117.62114537444934</v>
      </c>
    </row>
    <row r="34" spans="1:4" x14ac:dyDescent="0.25">
      <c r="A34" s="7" t="s">
        <v>44</v>
      </c>
      <c r="B34" s="27">
        <v>454</v>
      </c>
    </row>
    <row r="35" spans="1:4" x14ac:dyDescent="0.25">
      <c r="A35" s="7"/>
    </row>
    <row r="36" spans="1:4" x14ac:dyDescent="0.25">
      <c r="A36" s="7" t="s">
        <v>47</v>
      </c>
      <c r="B36" s="27">
        <v>12</v>
      </c>
      <c r="C36" s="45" t="s">
        <v>208</v>
      </c>
      <c r="D36" s="13">
        <f>B36/B37*100</f>
        <v>37.5</v>
      </c>
    </row>
    <row r="37" spans="1:4" x14ac:dyDescent="0.25">
      <c r="A37" s="7" t="s">
        <v>46</v>
      </c>
      <c r="B37" s="27">
        <v>32</v>
      </c>
    </row>
    <row r="39" spans="1:4" x14ac:dyDescent="0.25">
      <c r="A39" s="8" t="s">
        <v>48</v>
      </c>
    </row>
    <row r="41" spans="1:4" x14ac:dyDescent="0.25">
      <c r="A41" s="7" t="s">
        <v>49</v>
      </c>
      <c r="B41" s="27">
        <v>23</v>
      </c>
      <c r="C41" s="45" t="s">
        <v>208</v>
      </c>
      <c r="D41" s="13">
        <f>B41/B42*100</f>
        <v>53.488372093023251</v>
      </c>
    </row>
    <row r="42" spans="1:4" x14ac:dyDescent="0.25">
      <c r="A42" s="7" t="s">
        <v>50</v>
      </c>
      <c r="B42" s="27">
        <v>43</v>
      </c>
    </row>
    <row r="44" spans="1:4" x14ac:dyDescent="0.25">
      <c r="C44" s="20" t="s">
        <v>51</v>
      </c>
      <c r="D44" s="13">
        <f>(B45-B46)/B46*100</f>
        <v>-20.930232558139537</v>
      </c>
    </row>
    <row r="45" spans="1:4" x14ac:dyDescent="0.25">
      <c r="A45" s="7" t="s">
        <v>52</v>
      </c>
      <c r="B45" s="27">
        <v>34</v>
      </c>
    </row>
    <row r="46" spans="1:4" x14ac:dyDescent="0.25">
      <c r="A46" s="7" t="s">
        <v>53</v>
      </c>
      <c r="B46" s="27">
        <v>43</v>
      </c>
    </row>
    <row r="48" spans="1:4" x14ac:dyDescent="0.25">
      <c r="A48" s="8" t="s">
        <v>54</v>
      </c>
    </row>
    <row r="50" spans="1:4" x14ac:dyDescent="0.25">
      <c r="A50" s="7" t="s">
        <v>55</v>
      </c>
      <c r="B50" s="27">
        <v>45</v>
      </c>
      <c r="C50" s="45" t="s">
        <v>208</v>
      </c>
      <c r="D50" s="22">
        <f>B50/B51*100</f>
        <v>80.357142857142861</v>
      </c>
    </row>
    <row r="51" spans="1:4" x14ac:dyDescent="0.25">
      <c r="A51" s="7" t="s">
        <v>56</v>
      </c>
      <c r="B51" s="27">
        <v>56</v>
      </c>
    </row>
    <row r="53" spans="1:4" x14ac:dyDescent="0.25">
      <c r="A53" s="7" t="s">
        <v>58</v>
      </c>
      <c r="B53" s="27">
        <v>13</v>
      </c>
      <c r="C53" s="45" t="s">
        <v>208</v>
      </c>
      <c r="D53" s="13">
        <f>B53/B54</f>
        <v>0.30232558139534882</v>
      </c>
    </row>
    <row r="54" spans="1:4" x14ac:dyDescent="0.25">
      <c r="A54" s="7" t="s">
        <v>57</v>
      </c>
      <c r="B54" s="27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C3" activeCellId="6" sqref="C31 C26 C20 C19 C18 C17 C3"/>
    </sheetView>
  </sheetViews>
  <sheetFormatPr baseColWidth="10" defaultRowHeight="15" x14ac:dyDescent="0.25"/>
  <cols>
    <col min="1" max="1" width="48.140625" customWidth="1"/>
    <col min="3" max="3" width="11.42578125" style="38"/>
    <col min="4" max="4" width="11.42578125" style="12"/>
  </cols>
  <sheetData>
    <row r="1" spans="1:4" x14ac:dyDescent="0.25">
      <c r="A1" s="8" t="s">
        <v>59</v>
      </c>
    </row>
    <row r="3" spans="1:4" x14ac:dyDescent="0.25">
      <c r="A3" s="7" t="s">
        <v>60</v>
      </c>
      <c r="B3" s="27">
        <v>23</v>
      </c>
      <c r="C3" s="45" t="s">
        <v>208</v>
      </c>
      <c r="D3" s="22">
        <f>B3/B4*100</f>
        <v>100</v>
      </c>
    </row>
    <row r="4" spans="1:4" x14ac:dyDescent="0.25">
      <c r="A4" s="7" t="s">
        <v>61</v>
      </c>
      <c r="B4" s="27">
        <v>23</v>
      </c>
    </row>
    <row r="6" spans="1:4" x14ac:dyDescent="0.25">
      <c r="A6" s="8" t="s">
        <v>62</v>
      </c>
    </row>
    <row r="8" spans="1:4" x14ac:dyDescent="0.25">
      <c r="C8" s="39" t="s">
        <v>66</v>
      </c>
      <c r="D8" s="13">
        <f>B9-B10-B11-B12-B13</f>
        <v>-70</v>
      </c>
    </row>
    <row r="9" spans="1:4" x14ac:dyDescent="0.25">
      <c r="A9" s="7" t="s">
        <v>9</v>
      </c>
      <c r="B9" s="27">
        <v>12</v>
      </c>
    </row>
    <row r="10" spans="1:4" x14ac:dyDescent="0.25">
      <c r="A10" s="7" t="s">
        <v>63</v>
      </c>
      <c r="B10" s="27">
        <v>32</v>
      </c>
    </row>
    <row r="11" spans="1:4" x14ac:dyDescent="0.25">
      <c r="A11" s="7" t="s">
        <v>64</v>
      </c>
      <c r="B11" s="27">
        <v>4</v>
      </c>
    </row>
    <row r="12" spans="1:4" x14ac:dyDescent="0.25">
      <c r="A12" s="7" t="s">
        <v>37</v>
      </c>
      <c r="B12" s="27">
        <v>23</v>
      </c>
    </row>
    <row r="13" spans="1:4" x14ac:dyDescent="0.25">
      <c r="A13" s="7" t="s">
        <v>65</v>
      </c>
      <c r="B13" s="27">
        <v>23</v>
      </c>
    </row>
    <row r="15" spans="1:4" x14ac:dyDescent="0.25">
      <c r="A15" s="8" t="s">
        <v>15</v>
      </c>
    </row>
    <row r="17" spans="1:4" x14ac:dyDescent="0.25">
      <c r="A17" s="4" t="s">
        <v>68</v>
      </c>
      <c r="B17" s="27">
        <v>15</v>
      </c>
      <c r="C17" s="45" t="s">
        <v>208</v>
      </c>
      <c r="D17" s="13">
        <f>B17/B22*100</f>
        <v>30</v>
      </c>
    </row>
    <row r="18" spans="1:4" x14ac:dyDescent="0.25">
      <c r="A18" s="4" t="s">
        <v>69</v>
      </c>
      <c r="B18" s="27">
        <v>10</v>
      </c>
      <c r="C18" s="45" t="s">
        <v>208</v>
      </c>
      <c r="D18" s="13">
        <f>B18/B22*100</f>
        <v>20</v>
      </c>
    </row>
    <row r="19" spans="1:4" x14ac:dyDescent="0.25">
      <c r="A19" s="4" t="s">
        <v>70</v>
      </c>
      <c r="B19" s="27">
        <v>12</v>
      </c>
      <c r="C19" s="45" t="s">
        <v>208</v>
      </c>
      <c r="D19" s="13">
        <f>B19/B22*100</f>
        <v>24</v>
      </c>
    </row>
    <row r="20" spans="1:4" x14ac:dyDescent="0.25">
      <c r="A20" s="7" t="s">
        <v>71</v>
      </c>
      <c r="B20" s="27">
        <v>13</v>
      </c>
      <c r="C20" s="45" t="s">
        <v>208</v>
      </c>
      <c r="D20" s="13">
        <f>B20/B22*100</f>
        <v>26</v>
      </c>
    </row>
    <row r="21" spans="1:4" x14ac:dyDescent="0.25">
      <c r="A21" s="11" t="s">
        <v>8</v>
      </c>
    </row>
    <row r="22" spans="1:4" x14ac:dyDescent="0.25">
      <c r="A22" s="7" t="s">
        <v>67</v>
      </c>
      <c r="B22" s="27">
        <v>50</v>
      </c>
    </row>
    <row r="24" spans="1:4" x14ac:dyDescent="0.25">
      <c r="A24" s="8" t="s">
        <v>72</v>
      </c>
    </row>
    <row r="26" spans="1:4" x14ac:dyDescent="0.25">
      <c r="A26" s="7" t="s">
        <v>73</v>
      </c>
      <c r="B26" s="27">
        <v>23</v>
      </c>
      <c r="C26" s="45" t="s">
        <v>208</v>
      </c>
      <c r="D26" s="13">
        <f>B26/B27*100</f>
        <v>100</v>
      </c>
    </row>
    <row r="27" spans="1:4" x14ac:dyDescent="0.25">
      <c r="A27" s="7" t="s">
        <v>74</v>
      </c>
      <c r="B27" s="27">
        <v>23</v>
      </c>
    </row>
    <row r="29" spans="1:4" x14ac:dyDescent="0.25">
      <c r="A29" s="8" t="s">
        <v>75</v>
      </c>
    </row>
    <row r="31" spans="1:4" x14ac:dyDescent="0.25">
      <c r="A31" s="7" t="s">
        <v>76</v>
      </c>
      <c r="B31" s="27">
        <v>34</v>
      </c>
      <c r="C31" s="45" t="s">
        <v>208</v>
      </c>
      <c r="D31" s="22">
        <f>B31/B32*100</f>
        <v>75.555555555555557</v>
      </c>
    </row>
    <row r="32" spans="1:4" x14ac:dyDescent="0.25">
      <c r="A32" s="7" t="s">
        <v>77</v>
      </c>
      <c r="B32" s="27">
        <v>45</v>
      </c>
    </row>
    <row r="34" spans="1:1" x14ac:dyDescent="0.25">
      <c r="A34" s="10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opLeftCell="A7" workbookViewId="0">
      <selection activeCell="C18" activeCellId="8" sqref="C56 C51 C48 C43 C34 C29 C26 C21 C18"/>
    </sheetView>
  </sheetViews>
  <sheetFormatPr baseColWidth="10" defaultRowHeight="15" x14ac:dyDescent="0.25"/>
  <cols>
    <col min="1" max="1" width="53.85546875" customWidth="1"/>
    <col min="3" max="3" width="28.28515625" style="38" customWidth="1"/>
    <col min="4" max="4" width="11.42578125" style="12"/>
  </cols>
  <sheetData>
    <row r="1" spans="1:4" x14ac:dyDescent="0.25">
      <c r="A1" s="8" t="s">
        <v>78</v>
      </c>
    </row>
    <row r="3" spans="1:4" x14ac:dyDescent="0.25">
      <c r="A3" s="7" t="s">
        <v>79</v>
      </c>
      <c r="B3" s="27">
        <v>50</v>
      </c>
    </row>
    <row r="4" spans="1:4" x14ac:dyDescent="0.25">
      <c r="C4" s="40" t="s">
        <v>80</v>
      </c>
      <c r="D4" s="25">
        <f>B3/30</f>
        <v>1.6666666666666667</v>
      </c>
    </row>
    <row r="6" spans="1:4" x14ac:dyDescent="0.25">
      <c r="A6" s="8" t="s">
        <v>81</v>
      </c>
    </row>
    <row r="8" spans="1:4" x14ac:dyDescent="0.25">
      <c r="C8" s="41" t="s">
        <v>82</v>
      </c>
      <c r="D8" s="22">
        <f>B9/B10*100</f>
        <v>97.826086956521735</v>
      </c>
    </row>
    <row r="9" spans="1:4" x14ac:dyDescent="0.25">
      <c r="A9" s="7" t="s">
        <v>84</v>
      </c>
      <c r="B9" s="27">
        <v>45</v>
      </c>
    </row>
    <row r="10" spans="1:4" x14ac:dyDescent="0.25">
      <c r="A10" s="7" t="s">
        <v>85</v>
      </c>
      <c r="B10" s="27">
        <v>46</v>
      </c>
    </row>
    <row r="12" spans="1:4" x14ac:dyDescent="0.25">
      <c r="B12" t="s">
        <v>8</v>
      </c>
      <c r="C12" s="42" t="s">
        <v>83</v>
      </c>
      <c r="D12" s="13">
        <f>B13/B14*100</f>
        <v>76.744186046511629</v>
      </c>
    </row>
    <row r="13" spans="1:4" x14ac:dyDescent="0.25">
      <c r="A13" s="7" t="s">
        <v>86</v>
      </c>
      <c r="B13" s="27">
        <v>33</v>
      </c>
    </row>
    <row r="14" spans="1:4" x14ac:dyDescent="0.25">
      <c r="A14" s="7" t="s">
        <v>85</v>
      </c>
      <c r="B14" s="27">
        <v>43</v>
      </c>
    </row>
    <row r="16" spans="1:4" x14ac:dyDescent="0.25">
      <c r="A16" s="8" t="s">
        <v>87</v>
      </c>
    </row>
    <row r="18" spans="1:4" x14ac:dyDescent="0.25">
      <c r="A18" s="7" t="s">
        <v>88</v>
      </c>
      <c r="B18" s="27">
        <v>56</v>
      </c>
      <c r="C18" s="45" t="s">
        <v>208</v>
      </c>
      <c r="D18" s="13">
        <f>B18/B19*100</f>
        <v>124.44444444444444</v>
      </c>
    </row>
    <row r="19" spans="1:4" x14ac:dyDescent="0.25">
      <c r="A19" s="7" t="s">
        <v>89</v>
      </c>
      <c r="B19" s="27">
        <v>45</v>
      </c>
    </row>
    <row r="21" spans="1:4" x14ac:dyDescent="0.25">
      <c r="A21" s="7" t="s">
        <v>90</v>
      </c>
      <c r="B21" s="27">
        <v>45</v>
      </c>
      <c r="C21" s="45" t="s">
        <v>208</v>
      </c>
      <c r="D21" s="13">
        <f>B21/B22*100</f>
        <v>132.35294117647058</v>
      </c>
    </row>
    <row r="22" spans="1:4" x14ac:dyDescent="0.25">
      <c r="A22" s="7" t="s">
        <v>91</v>
      </c>
      <c r="B22" s="27">
        <v>34</v>
      </c>
    </row>
    <row r="24" spans="1:4" x14ac:dyDescent="0.25">
      <c r="A24" s="8" t="s">
        <v>92</v>
      </c>
    </row>
    <row r="26" spans="1:4" x14ac:dyDescent="0.25">
      <c r="A26" s="7" t="s">
        <v>93</v>
      </c>
      <c r="B26" s="27">
        <v>1500000</v>
      </c>
      <c r="C26" s="45" t="s">
        <v>208</v>
      </c>
      <c r="D26" s="13">
        <f>B26-B27</f>
        <v>1370000</v>
      </c>
    </row>
    <row r="27" spans="1:4" x14ac:dyDescent="0.25">
      <c r="A27" s="7" t="s">
        <v>94</v>
      </c>
      <c r="B27" s="27">
        <v>130000</v>
      </c>
    </row>
    <row r="29" spans="1:4" x14ac:dyDescent="0.25">
      <c r="A29" s="7" t="s">
        <v>95</v>
      </c>
      <c r="B29" s="27">
        <v>12</v>
      </c>
      <c r="C29" s="45" t="s">
        <v>208</v>
      </c>
      <c r="D29" s="13">
        <f>B29/B30*100</f>
        <v>38.70967741935484</v>
      </c>
    </row>
    <row r="30" spans="1:4" x14ac:dyDescent="0.25">
      <c r="A30" s="7" t="s">
        <v>93</v>
      </c>
      <c r="B30" s="27">
        <v>31</v>
      </c>
    </row>
    <row r="32" spans="1:4" x14ac:dyDescent="0.25">
      <c r="A32" s="8" t="s">
        <v>96</v>
      </c>
    </row>
    <row r="34" spans="1:4" x14ac:dyDescent="0.25">
      <c r="A34" s="7" t="s">
        <v>97</v>
      </c>
      <c r="B34" s="27">
        <v>15</v>
      </c>
      <c r="C34" s="45" t="s">
        <v>208</v>
      </c>
      <c r="D34" s="13">
        <f>B34/B35*100</f>
        <v>33.333333333333329</v>
      </c>
    </row>
    <row r="35" spans="1:4" x14ac:dyDescent="0.25">
      <c r="A35" s="7" t="s">
        <v>99</v>
      </c>
      <c r="B35" s="27">
        <v>45</v>
      </c>
    </row>
    <row r="37" spans="1:4" x14ac:dyDescent="0.25">
      <c r="A37" s="20" t="s">
        <v>8</v>
      </c>
      <c r="C37" s="42" t="s">
        <v>98</v>
      </c>
      <c r="D37" s="13">
        <f>B38/B39</f>
        <v>96.791666666666671</v>
      </c>
    </row>
    <row r="38" spans="1:4" x14ac:dyDescent="0.25">
      <c r="A38" s="7" t="s">
        <v>100</v>
      </c>
      <c r="B38" s="27">
        <v>2323</v>
      </c>
      <c r="C38" s="38" t="s">
        <v>8</v>
      </c>
    </row>
    <row r="39" spans="1:4" x14ac:dyDescent="0.25">
      <c r="A39" s="7" t="s">
        <v>101</v>
      </c>
      <c r="B39" s="27">
        <v>24</v>
      </c>
    </row>
    <row r="41" spans="1:4" x14ac:dyDescent="0.25">
      <c r="A41" s="8" t="s">
        <v>102</v>
      </c>
    </row>
    <row r="43" spans="1:4" x14ac:dyDescent="0.25">
      <c r="A43" s="7" t="s">
        <v>103</v>
      </c>
      <c r="B43" s="27">
        <v>23</v>
      </c>
      <c r="C43" s="45" t="s">
        <v>208</v>
      </c>
      <c r="D43" s="13">
        <f>B43/B44*100</f>
        <v>95.833333333333343</v>
      </c>
    </row>
    <row r="44" spans="1:4" x14ac:dyDescent="0.25">
      <c r="A44" s="7" t="s">
        <v>104</v>
      </c>
      <c r="B44" s="27">
        <v>24</v>
      </c>
    </row>
    <row r="46" spans="1:4" x14ac:dyDescent="0.25">
      <c r="A46" s="8" t="s">
        <v>105</v>
      </c>
    </row>
    <row r="48" spans="1:4" x14ac:dyDescent="0.25">
      <c r="A48" s="7" t="s">
        <v>106</v>
      </c>
      <c r="B48" s="27">
        <v>213</v>
      </c>
      <c r="C48" s="45" t="s">
        <v>208</v>
      </c>
      <c r="D48" s="13">
        <f>B48/B49*100</f>
        <v>926.08695652173901</v>
      </c>
    </row>
    <row r="49" spans="1:4" x14ac:dyDescent="0.25">
      <c r="A49" s="7" t="s">
        <v>107</v>
      </c>
      <c r="B49" s="27">
        <v>23</v>
      </c>
    </row>
    <row r="51" spans="1:4" x14ac:dyDescent="0.25">
      <c r="A51" s="7" t="s">
        <v>108</v>
      </c>
      <c r="B51" s="27">
        <v>12</v>
      </c>
      <c r="C51" s="45" t="s">
        <v>208</v>
      </c>
      <c r="D51" s="13">
        <f>B51/B52*100</f>
        <v>52.173913043478258</v>
      </c>
    </row>
    <row r="52" spans="1:4" x14ac:dyDescent="0.25">
      <c r="A52" s="7" t="s">
        <v>109</v>
      </c>
      <c r="B52" s="27">
        <v>23</v>
      </c>
    </row>
    <row r="54" spans="1:4" x14ac:dyDescent="0.25">
      <c r="A54" s="8" t="s">
        <v>110</v>
      </c>
    </row>
    <row r="56" spans="1:4" x14ac:dyDescent="0.25">
      <c r="A56" s="7" t="s">
        <v>111</v>
      </c>
      <c r="B56" s="27">
        <v>23</v>
      </c>
      <c r="C56" s="45" t="s">
        <v>208</v>
      </c>
      <c r="D56" s="13">
        <f>B56/B57*100</f>
        <v>100</v>
      </c>
    </row>
    <row r="57" spans="1:4" x14ac:dyDescent="0.25">
      <c r="A57" s="7" t="s">
        <v>112</v>
      </c>
      <c r="B57" s="27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opLeftCell="A25" workbookViewId="0">
      <selection activeCell="C32" sqref="C32"/>
    </sheetView>
  </sheetViews>
  <sheetFormatPr baseColWidth="10" defaultRowHeight="15" x14ac:dyDescent="0.25"/>
  <cols>
    <col min="1" max="1" width="72" customWidth="1"/>
    <col min="3" max="3" width="30.5703125" style="38" customWidth="1"/>
    <col min="4" max="4" width="11.42578125" style="12"/>
  </cols>
  <sheetData>
    <row r="1" spans="1:4" x14ac:dyDescent="0.25">
      <c r="A1" s="8" t="s">
        <v>113</v>
      </c>
    </row>
    <row r="3" spans="1:4" x14ac:dyDescent="0.25">
      <c r="A3" s="25" t="s">
        <v>114</v>
      </c>
      <c r="B3" s="30">
        <v>0.8</v>
      </c>
      <c r="C3" s="43"/>
    </row>
    <row r="4" spans="1:4" x14ac:dyDescent="0.25">
      <c r="A4" t="s">
        <v>115</v>
      </c>
      <c r="B4" s="30">
        <v>0.9</v>
      </c>
      <c r="C4" s="43"/>
    </row>
    <row r="6" spans="1:4" x14ac:dyDescent="0.25">
      <c r="A6" s="8" t="s">
        <v>116</v>
      </c>
    </row>
    <row r="8" spans="1:4" x14ac:dyDescent="0.25">
      <c r="C8" s="42" t="s">
        <v>117</v>
      </c>
      <c r="D8" s="13">
        <f>(B9-B10)/B11*100</f>
        <v>41.17647058823529</v>
      </c>
    </row>
    <row r="9" spans="1:4" x14ac:dyDescent="0.25">
      <c r="A9" s="7" t="s">
        <v>118</v>
      </c>
      <c r="B9" s="27">
        <v>12</v>
      </c>
    </row>
    <row r="10" spans="1:4" x14ac:dyDescent="0.25">
      <c r="A10" s="7" t="s">
        <v>119</v>
      </c>
      <c r="B10" s="27">
        <v>5</v>
      </c>
    </row>
    <row r="11" spans="1:4" x14ac:dyDescent="0.25">
      <c r="A11" s="7" t="s">
        <v>120</v>
      </c>
      <c r="B11" s="27">
        <v>17</v>
      </c>
    </row>
    <row r="13" spans="1:4" x14ac:dyDescent="0.25">
      <c r="A13" s="7" t="s">
        <v>8</v>
      </c>
      <c r="B13" s="28" t="s">
        <v>8</v>
      </c>
      <c r="C13" s="43"/>
    </row>
    <row r="16" spans="1:4" x14ac:dyDescent="0.25">
      <c r="A16" s="8" t="s">
        <v>121</v>
      </c>
    </row>
    <row r="18" spans="1:4" x14ac:dyDescent="0.25">
      <c r="C18" s="42" t="s">
        <v>122</v>
      </c>
      <c r="D18" s="22">
        <f>B19/B20*100</f>
        <v>124.44444444444444</v>
      </c>
    </row>
    <row r="19" spans="1:4" x14ac:dyDescent="0.25">
      <c r="A19" s="7" t="s">
        <v>123</v>
      </c>
      <c r="B19" s="27">
        <v>56</v>
      </c>
    </row>
    <row r="20" spans="1:4" x14ac:dyDescent="0.25">
      <c r="A20" s="7" t="s">
        <v>124</v>
      </c>
      <c r="B20" s="27">
        <v>45</v>
      </c>
    </row>
    <row r="22" spans="1:4" x14ac:dyDescent="0.25">
      <c r="C22" s="42" t="s">
        <v>125</v>
      </c>
      <c r="D22" s="13">
        <f>B23/B24*100</f>
        <v>197.77777777777777</v>
      </c>
    </row>
    <row r="23" spans="1:4" x14ac:dyDescent="0.25">
      <c r="A23" s="7" t="s">
        <v>126</v>
      </c>
      <c r="B23" s="27">
        <v>89</v>
      </c>
    </row>
    <row r="24" spans="1:4" x14ac:dyDescent="0.25">
      <c r="A24" s="7" t="s">
        <v>127</v>
      </c>
      <c r="B24" s="27">
        <v>45</v>
      </c>
    </row>
    <row r="26" spans="1:4" x14ac:dyDescent="0.25">
      <c r="A26" s="8" t="s">
        <v>128</v>
      </c>
    </row>
    <row r="28" spans="1:4" x14ac:dyDescent="0.25">
      <c r="C28" s="42" t="s">
        <v>129</v>
      </c>
      <c r="D28" s="13">
        <f>B29/B30*100</f>
        <v>100</v>
      </c>
    </row>
    <row r="29" spans="1:4" x14ac:dyDescent="0.25">
      <c r="A29" s="7" t="s">
        <v>131</v>
      </c>
      <c r="B29" s="27">
        <v>12</v>
      </c>
    </row>
    <row r="30" spans="1:4" x14ac:dyDescent="0.25">
      <c r="A30" s="7" t="s">
        <v>130</v>
      </c>
      <c r="B30" s="27">
        <v>12</v>
      </c>
    </row>
    <row r="32" spans="1:4" x14ac:dyDescent="0.25">
      <c r="A32" s="8" t="s">
        <v>132</v>
      </c>
    </row>
    <row r="34" spans="1:2" x14ac:dyDescent="0.25">
      <c r="A34" s="29" t="s">
        <v>133</v>
      </c>
      <c r="B34" s="27">
        <v>456</v>
      </c>
    </row>
    <row r="35" spans="1:2" x14ac:dyDescent="0.25">
      <c r="A35" s="7" t="s">
        <v>134</v>
      </c>
      <c r="B35" s="27">
        <v>454</v>
      </c>
    </row>
    <row r="36" spans="1:2" x14ac:dyDescent="0.25">
      <c r="A36" s="7" t="s">
        <v>135</v>
      </c>
      <c r="B36" s="27">
        <v>245</v>
      </c>
    </row>
    <row r="37" spans="1:2" x14ac:dyDescent="0.25">
      <c r="A37" s="7" t="s">
        <v>136</v>
      </c>
      <c r="B37" s="27">
        <v>45</v>
      </c>
    </row>
    <row r="38" spans="1:2" x14ac:dyDescent="0.25">
      <c r="A38" s="7" t="s">
        <v>137</v>
      </c>
      <c r="B38" s="27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selection activeCell="G9" sqref="G9"/>
    </sheetView>
  </sheetViews>
  <sheetFormatPr baseColWidth="10" defaultRowHeight="15" x14ac:dyDescent="0.25"/>
  <cols>
    <col min="1" max="1" width="54.7109375" customWidth="1"/>
    <col min="3" max="3" width="34.42578125" style="38" customWidth="1"/>
    <col min="4" max="4" width="11.42578125" style="12"/>
  </cols>
  <sheetData>
    <row r="1" spans="1:4" x14ac:dyDescent="0.25">
      <c r="A1" s="5" t="s">
        <v>138</v>
      </c>
    </row>
    <row r="3" spans="1:4" x14ac:dyDescent="0.25">
      <c r="A3" s="1" t="s">
        <v>139</v>
      </c>
      <c r="B3" s="33">
        <v>12</v>
      </c>
      <c r="C3" s="45" t="s">
        <v>208</v>
      </c>
      <c r="D3" s="13">
        <f>B3/B4*100</f>
        <v>92.307692307692307</v>
      </c>
    </row>
    <row r="4" spans="1:4" x14ac:dyDescent="0.25">
      <c r="A4" s="1" t="s">
        <v>140</v>
      </c>
      <c r="B4" s="33">
        <v>13</v>
      </c>
    </row>
    <row r="6" spans="1:4" x14ac:dyDescent="0.25">
      <c r="A6" s="5" t="s">
        <v>141</v>
      </c>
    </row>
    <row r="8" spans="1:4" x14ac:dyDescent="0.25">
      <c r="A8" s="1" t="s">
        <v>142</v>
      </c>
      <c r="B8" s="33">
        <v>12</v>
      </c>
      <c r="C8" s="45" t="s">
        <v>208</v>
      </c>
      <c r="D8" s="13">
        <f>B8/B9*100</f>
        <v>37.5</v>
      </c>
    </row>
    <row r="9" spans="1:4" x14ac:dyDescent="0.25">
      <c r="A9" s="1" t="s">
        <v>143</v>
      </c>
      <c r="B9" s="33">
        <v>32</v>
      </c>
    </row>
    <row r="11" spans="1:4" x14ac:dyDescent="0.25">
      <c r="A11" s="1" t="s">
        <v>145</v>
      </c>
      <c r="B11" s="33">
        <v>12</v>
      </c>
      <c r="C11" s="45" t="s">
        <v>208</v>
      </c>
      <c r="D11" s="13">
        <f>B11/B12*100</f>
        <v>38.70967741935484</v>
      </c>
    </row>
    <row r="12" spans="1:4" x14ac:dyDescent="0.25">
      <c r="A12" s="1" t="s">
        <v>144</v>
      </c>
      <c r="B12" s="33">
        <v>31</v>
      </c>
    </row>
    <row r="14" spans="1:4" x14ac:dyDescent="0.25">
      <c r="A14" s="5" t="s">
        <v>146</v>
      </c>
    </row>
    <row r="16" spans="1:4" x14ac:dyDescent="0.25">
      <c r="A16" s="20" t="s">
        <v>147</v>
      </c>
      <c r="C16" s="42" t="s">
        <v>147</v>
      </c>
      <c r="D16" s="13">
        <f>B17/B18</f>
        <v>0.1</v>
      </c>
    </row>
    <row r="17" spans="1:4" x14ac:dyDescent="0.25">
      <c r="A17" s="34" t="s">
        <v>149</v>
      </c>
      <c r="B17" s="33">
        <v>15</v>
      </c>
    </row>
    <row r="18" spans="1:4" x14ac:dyDescent="0.25">
      <c r="A18" s="34" t="s">
        <v>150</v>
      </c>
      <c r="B18" s="33">
        <v>150</v>
      </c>
    </row>
    <row r="20" spans="1:4" x14ac:dyDescent="0.25">
      <c r="A20" s="5" t="s">
        <v>151</v>
      </c>
    </row>
    <row r="22" spans="1:4" x14ac:dyDescent="0.25">
      <c r="A22" s="34" t="s">
        <v>152</v>
      </c>
      <c r="B22" s="33">
        <v>12</v>
      </c>
      <c r="C22" s="45" t="s">
        <v>208</v>
      </c>
      <c r="D22" s="13">
        <f>B22/B23</f>
        <v>1</v>
      </c>
    </row>
    <row r="23" spans="1:4" x14ac:dyDescent="0.25">
      <c r="A23" s="34" t="s">
        <v>153</v>
      </c>
      <c r="B23" s="33">
        <v>12</v>
      </c>
    </row>
    <row r="25" spans="1:4" x14ac:dyDescent="0.25">
      <c r="A25" s="5" t="s">
        <v>154</v>
      </c>
    </row>
    <row r="27" spans="1:4" x14ac:dyDescent="0.25">
      <c r="A27" s="34" t="s">
        <v>155</v>
      </c>
      <c r="B27" s="33">
        <v>12</v>
      </c>
      <c r="C27" s="45" t="s">
        <v>208</v>
      </c>
      <c r="D27" s="13">
        <f>B27/B28*100</f>
        <v>100</v>
      </c>
    </row>
    <row r="28" spans="1:4" x14ac:dyDescent="0.25">
      <c r="A28" s="34" t="s">
        <v>148</v>
      </c>
      <c r="B28" s="33">
        <v>12</v>
      </c>
    </row>
    <row r="30" spans="1:4" x14ac:dyDescent="0.25">
      <c r="A30" s="5" t="s">
        <v>156</v>
      </c>
    </row>
    <row r="32" spans="1:4" x14ac:dyDescent="0.25">
      <c r="A32" s="34" t="s">
        <v>157</v>
      </c>
      <c r="B32" s="33">
        <v>12</v>
      </c>
    </row>
    <row r="33" spans="1:4" x14ac:dyDescent="0.25">
      <c r="A33" s="34" t="s">
        <v>158</v>
      </c>
      <c r="B33" s="33">
        <v>35</v>
      </c>
    </row>
    <row r="34" spans="1:4" x14ac:dyDescent="0.25">
      <c r="A34" s="34" t="s">
        <v>159</v>
      </c>
      <c r="B34" s="33">
        <v>62</v>
      </c>
    </row>
    <row r="35" spans="1:4" x14ac:dyDescent="0.25">
      <c r="A35" s="34" t="s">
        <v>160</v>
      </c>
      <c r="B35" s="33">
        <v>53</v>
      </c>
    </row>
    <row r="37" spans="1:4" x14ac:dyDescent="0.25">
      <c r="A37" s="5" t="s">
        <v>161</v>
      </c>
    </row>
    <row r="39" spans="1:4" x14ac:dyDescent="0.25">
      <c r="A39" s="1" t="s">
        <v>162</v>
      </c>
      <c r="B39" s="33">
        <v>50000</v>
      </c>
    </row>
    <row r="41" spans="1:4" x14ac:dyDescent="0.25">
      <c r="A41" s="5" t="s">
        <v>163</v>
      </c>
    </row>
    <row r="43" spans="1:4" x14ac:dyDescent="0.25">
      <c r="A43" s="1" t="s">
        <v>164</v>
      </c>
      <c r="B43" s="33">
        <v>1212</v>
      </c>
      <c r="C43" s="45" t="s">
        <v>208</v>
      </c>
      <c r="D43" s="13">
        <f>B43/B44*100</f>
        <v>1001.6528925619834</v>
      </c>
    </row>
    <row r="44" spans="1:4" x14ac:dyDescent="0.25">
      <c r="A44" s="1" t="s">
        <v>165</v>
      </c>
      <c r="B44" s="33">
        <v>121</v>
      </c>
    </row>
    <row r="46" spans="1:4" x14ac:dyDescent="0.25">
      <c r="A46" s="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Views>
    <sheetView topLeftCell="A52" workbookViewId="0">
      <selection activeCell="C19" sqref="C19"/>
    </sheetView>
  </sheetViews>
  <sheetFormatPr baseColWidth="10" defaultRowHeight="15" x14ac:dyDescent="0.25"/>
  <cols>
    <col min="1" max="1" width="56.7109375" customWidth="1"/>
    <col min="3" max="3" width="41.28515625" style="38" customWidth="1"/>
  </cols>
  <sheetData>
    <row r="1" spans="1:4" x14ac:dyDescent="0.25">
      <c r="A1" s="8" t="s">
        <v>166</v>
      </c>
    </row>
    <row r="3" spans="1:4" x14ac:dyDescent="0.25">
      <c r="A3" s="29" t="s">
        <v>167</v>
      </c>
      <c r="B3" s="33">
        <v>3423</v>
      </c>
    </row>
    <row r="4" spans="1:4" x14ac:dyDescent="0.25">
      <c r="C4" s="42" t="s">
        <v>168</v>
      </c>
      <c r="D4" s="25">
        <f>B5/B6</f>
        <v>9.9901805917260809E-3</v>
      </c>
    </row>
    <row r="5" spans="1:4" x14ac:dyDescent="0.25">
      <c r="A5" s="7" t="s">
        <v>169</v>
      </c>
      <c r="B5" s="33">
        <v>234</v>
      </c>
    </row>
    <row r="6" spans="1:4" x14ac:dyDescent="0.25">
      <c r="A6" s="7" t="s">
        <v>170</v>
      </c>
      <c r="B6" s="33">
        <v>23423</v>
      </c>
    </row>
    <row r="8" spans="1:4" x14ac:dyDescent="0.25">
      <c r="C8" s="42" t="s">
        <v>171</v>
      </c>
      <c r="D8" s="25">
        <f>B9/B10</f>
        <v>12</v>
      </c>
    </row>
    <row r="9" spans="1:4" x14ac:dyDescent="0.25">
      <c r="A9" s="7" t="s">
        <v>172</v>
      </c>
      <c r="B9" s="33">
        <v>12</v>
      </c>
    </row>
    <row r="10" spans="1:4" x14ac:dyDescent="0.25">
      <c r="A10" s="7" t="s">
        <v>173</v>
      </c>
      <c r="B10" s="33">
        <v>1</v>
      </c>
    </row>
    <row r="12" spans="1:4" x14ac:dyDescent="0.25">
      <c r="A12" s="8" t="s">
        <v>174</v>
      </c>
    </row>
    <row r="14" spans="1:4" x14ac:dyDescent="0.25">
      <c r="C14" s="42" t="s">
        <v>176</v>
      </c>
      <c r="D14" s="25">
        <f>B15/B16*100</f>
        <v>100</v>
      </c>
    </row>
    <row r="15" spans="1:4" x14ac:dyDescent="0.25">
      <c r="A15" s="7" t="s">
        <v>177</v>
      </c>
      <c r="B15" s="33">
        <v>112121</v>
      </c>
    </row>
    <row r="16" spans="1:4" x14ac:dyDescent="0.25">
      <c r="A16" s="7" t="s">
        <v>178</v>
      </c>
      <c r="B16" s="33">
        <v>112121</v>
      </c>
    </row>
    <row r="17" spans="1:4" x14ac:dyDescent="0.25">
      <c r="B17" s="26"/>
    </row>
    <row r="18" spans="1:4" x14ac:dyDescent="0.25">
      <c r="A18" s="8" t="s">
        <v>175</v>
      </c>
    </row>
    <row r="19" spans="1:4" x14ac:dyDescent="0.25">
      <c r="C19" s="45" t="s">
        <v>208</v>
      </c>
      <c r="D19" s="25">
        <f>B20/B21*100</f>
        <v>1461.1182244985062</v>
      </c>
    </row>
    <row r="20" spans="1:4" x14ac:dyDescent="0.25">
      <c r="A20" s="7" t="s">
        <v>179</v>
      </c>
      <c r="B20" s="33">
        <v>34234</v>
      </c>
    </row>
    <row r="21" spans="1:4" x14ac:dyDescent="0.25">
      <c r="A21" s="7" t="s">
        <v>180</v>
      </c>
      <c r="B21" s="33">
        <v>2343</v>
      </c>
    </row>
    <row r="23" spans="1:4" x14ac:dyDescent="0.25">
      <c r="C23" s="42" t="s">
        <v>181</v>
      </c>
      <c r="D23" s="25">
        <f>B24/B25*100</f>
        <v>52.173913043478258</v>
      </c>
    </row>
    <row r="24" spans="1:4" x14ac:dyDescent="0.25">
      <c r="A24" s="7" t="s">
        <v>182</v>
      </c>
      <c r="B24" s="33">
        <v>12</v>
      </c>
    </row>
    <row r="25" spans="1:4" x14ac:dyDescent="0.25">
      <c r="A25" s="7" t="s">
        <v>183</v>
      </c>
      <c r="B25" s="33">
        <v>23</v>
      </c>
    </row>
    <row r="27" spans="1:4" x14ac:dyDescent="0.25">
      <c r="A27" s="8" t="s">
        <v>184</v>
      </c>
    </row>
    <row r="29" spans="1:4" x14ac:dyDescent="0.25">
      <c r="B29" s="35"/>
      <c r="C29" s="42" t="s">
        <v>185</v>
      </c>
      <c r="D29" s="23">
        <f>B30/B31*100</f>
        <v>100</v>
      </c>
    </row>
    <row r="30" spans="1:4" x14ac:dyDescent="0.25">
      <c r="A30" s="7" t="s">
        <v>186</v>
      </c>
      <c r="B30" s="24">
        <v>12</v>
      </c>
      <c r="C30" s="44"/>
    </row>
    <row r="31" spans="1:4" x14ac:dyDescent="0.25">
      <c r="A31" s="7" t="s">
        <v>187</v>
      </c>
      <c r="B31" s="24">
        <v>12</v>
      </c>
      <c r="C31" s="44"/>
    </row>
    <row r="33" spans="1:4" x14ac:dyDescent="0.25">
      <c r="A33" s="8" t="s">
        <v>188</v>
      </c>
    </row>
    <row r="34" spans="1:4" x14ac:dyDescent="0.25">
      <c r="C34" s="45" t="s">
        <v>208</v>
      </c>
      <c r="D34" s="25">
        <f>B35+B36</f>
        <v>38</v>
      </c>
    </row>
    <row r="35" spans="1:4" x14ac:dyDescent="0.25">
      <c r="A35" s="7" t="s">
        <v>189</v>
      </c>
      <c r="B35" s="33">
        <v>34</v>
      </c>
    </row>
    <row r="36" spans="1:4" x14ac:dyDescent="0.25">
      <c r="A36" s="7" t="s">
        <v>191</v>
      </c>
      <c r="B36" s="33">
        <v>4</v>
      </c>
    </row>
    <row r="38" spans="1:4" x14ac:dyDescent="0.25">
      <c r="A38" s="8" t="s">
        <v>190</v>
      </c>
    </row>
    <row r="39" spans="1:4" x14ac:dyDescent="0.25">
      <c r="D39" t="s">
        <v>8</v>
      </c>
    </row>
    <row r="40" spans="1:4" x14ac:dyDescent="0.25">
      <c r="C40" s="41" t="s">
        <v>192</v>
      </c>
      <c r="D40" s="25">
        <f>B41/B42</f>
        <v>13.931034482758621</v>
      </c>
    </row>
    <row r="41" spans="1:4" x14ac:dyDescent="0.25">
      <c r="A41" s="7" t="s">
        <v>193</v>
      </c>
      <c r="B41" s="33">
        <v>3232</v>
      </c>
    </row>
    <row r="42" spans="1:4" x14ac:dyDescent="0.25">
      <c r="A42" s="7" t="s">
        <v>194</v>
      </c>
      <c r="B42" s="33">
        <v>232</v>
      </c>
    </row>
    <row r="44" spans="1:4" x14ac:dyDescent="0.25">
      <c r="C44" s="41" t="s">
        <v>195</v>
      </c>
      <c r="D44" s="25">
        <f>B45/B46</f>
        <v>0.25742574257425743</v>
      </c>
    </row>
    <row r="45" spans="1:4" x14ac:dyDescent="0.25">
      <c r="A45" s="7" t="s">
        <v>196</v>
      </c>
      <c r="B45" s="33">
        <v>312</v>
      </c>
    </row>
    <row r="46" spans="1:4" x14ac:dyDescent="0.25">
      <c r="A46" s="7" t="s">
        <v>197</v>
      </c>
      <c r="B46" s="33">
        <v>1212</v>
      </c>
    </row>
    <row r="48" spans="1:4" x14ac:dyDescent="0.25">
      <c r="A48" s="8" t="s">
        <v>198</v>
      </c>
    </row>
    <row r="49" spans="1:4" x14ac:dyDescent="0.25">
      <c r="C49" s="45" t="s">
        <v>208</v>
      </c>
      <c r="D49" s="25">
        <f>(B50+B51)/B52*100</f>
        <v>3608.3333333333335</v>
      </c>
    </row>
    <row r="50" spans="1:4" x14ac:dyDescent="0.25">
      <c r="A50" s="7" t="s">
        <v>199</v>
      </c>
      <c r="B50" s="33">
        <v>121</v>
      </c>
      <c r="C50" s="38" t="s">
        <v>8</v>
      </c>
    </row>
    <row r="51" spans="1:4" x14ac:dyDescent="0.25">
      <c r="A51" s="7" t="s">
        <v>203</v>
      </c>
      <c r="B51" s="33">
        <v>312</v>
      </c>
    </row>
    <row r="52" spans="1:4" x14ac:dyDescent="0.25">
      <c r="A52" s="7" t="s">
        <v>200</v>
      </c>
      <c r="B52" s="33">
        <v>12</v>
      </c>
    </row>
    <row r="54" spans="1:4" x14ac:dyDescent="0.25">
      <c r="C54" s="42" t="s">
        <v>201</v>
      </c>
      <c r="D54" s="25">
        <f>B55-B56</f>
        <v>0</v>
      </c>
    </row>
    <row r="55" spans="1:4" x14ac:dyDescent="0.25">
      <c r="A55" s="7" t="s">
        <v>187</v>
      </c>
      <c r="B55" s="33"/>
    </row>
    <row r="56" spans="1:4" x14ac:dyDescent="0.25">
      <c r="A56" s="7" t="s">
        <v>202</v>
      </c>
      <c r="B56" s="33"/>
    </row>
    <row r="58" spans="1:4" x14ac:dyDescent="0.25">
      <c r="A58" s="8" t="s">
        <v>204</v>
      </c>
    </row>
    <row r="60" spans="1:4" x14ac:dyDescent="0.25">
      <c r="C60" s="42" t="s">
        <v>205</v>
      </c>
      <c r="D60" s="25">
        <f>B61/B62*100</f>
        <v>0.10147510147510148</v>
      </c>
    </row>
    <row r="61" spans="1:4" x14ac:dyDescent="0.25">
      <c r="A61" s="7" t="s">
        <v>207</v>
      </c>
      <c r="B61" s="33">
        <v>123</v>
      </c>
    </row>
    <row r="62" spans="1:4" x14ac:dyDescent="0.25">
      <c r="A62" s="7" t="s">
        <v>206</v>
      </c>
      <c r="B62" s="33">
        <v>121212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 0km</vt:lpstr>
      <vt:lpstr>Plan Rombo</vt:lpstr>
      <vt:lpstr>Mi Auto Ya!</vt:lpstr>
      <vt:lpstr>Postventa</vt:lpstr>
      <vt:lpstr>Calidad</vt:lpstr>
      <vt:lpstr>Recursos Humanos</vt:lpstr>
      <vt:lpstr>Administración y 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</dc:creator>
  <cp:lastModifiedBy>Guillermo</cp:lastModifiedBy>
  <dcterms:created xsi:type="dcterms:W3CDTF">2026-09-17T12:33:45Z</dcterms:created>
  <dcterms:modified xsi:type="dcterms:W3CDTF">2026-09-23T13:30:58Z</dcterms:modified>
</cp:coreProperties>
</file>